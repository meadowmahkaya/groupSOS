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oridacrystalscorp-my.sharepoint.com/personal/jaclyn_stankowski_asr-group_com/Documents/Desktop/"/>
    </mc:Choice>
  </mc:AlternateContent>
  <xr:revisionPtr revIDLastSave="0" documentId="8_{C083C84B-B262-4251-83AA-A035295F2771}" xr6:coauthVersionLast="47" xr6:coauthVersionMax="47" xr10:uidLastSave="{00000000-0000-0000-0000-000000000000}"/>
  <bookViews>
    <workbookView xWindow="28680" yWindow="-120" windowWidth="29040" windowHeight="15720" xr2:uid="{A0DEEFB3-B30D-4E42-AE0A-6BE2C648A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M10" i="1" s="1"/>
  <c r="L10" i="1"/>
  <c r="K11" i="1"/>
  <c r="L11" i="1"/>
  <c r="J3" i="1"/>
  <c r="J4" i="1"/>
  <c r="M4" i="1"/>
  <c r="J5" i="1"/>
  <c r="J6" i="1"/>
  <c r="J7" i="1"/>
  <c r="J8" i="1"/>
  <c r="J9" i="1"/>
  <c r="J10" i="1"/>
  <c r="J11" i="1"/>
  <c r="J2" i="1"/>
  <c r="L2" i="1" s="1"/>
  <c r="I4" i="1"/>
  <c r="H4" i="1" s="1"/>
  <c r="I5" i="1"/>
  <c r="H5" i="1" s="1"/>
  <c r="I6" i="1"/>
  <c r="H6" i="1" s="1"/>
  <c r="I7" i="1"/>
  <c r="I8" i="1"/>
  <c r="I9" i="1"/>
  <c r="I10" i="1"/>
  <c r="I11" i="1"/>
  <c r="I3" i="1"/>
  <c r="I2" i="1"/>
  <c r="H2" i="1" s="1"/>
  <c r="H3" i="1"/>
  <c r="H9" i="1"/>
  <c r="H10" i="1"/>
  <c r="H7" i="1"/>
  <c r="H8" i="1"/>
  <c r="H11" i="1"/>
  <c r="K2" i="1" l="1"/>
  <c r="M2" i="1" s="1"/>
  <c r="M6" i="1"/>
  <c r="M8" i="1"/>
  <c r="M5" i="1"/>
  <c r="M3" i="1"/>
  <c r="M11" i="1"/>
  <c r="M9" i="1"/>
  <c r="M7" i="1"/>
</calcChain>
</file>

<file path=xl/sharedStrings.xml><?xml version="1.0" encoding="utf-8"?>
<sst xmlns="http://schemas.openxmlformats.org/spreadsheetml/2006/main" count="38" uniqueCount="33">
  <si>
    <t>ID#</t>
  </si>
  <si>
    <t>Last Name</t>
  </si>
  <si>
    <t>First Name</t>
  </si>
  <si>
    <t># Dependents</t>
  </si>
  <si>
    <t>McKay</t>
  </si>
  <si>
    <t>Dylan</t>
  </si>
  <si>
    <t>Walsh</t>
  </si>
  <si>
    <t>Brandon</t>
  </si>
  <si>
    <t>Taylor</t>
  </si>
  <si>
    <t>Kelly</t>
  </si>
  <si>
    <t>Martin</t>
  </si>
  <si>
    <t>Donna</t>
  </si>
  <si>
    <t>Brenda</t>
  </si>
  <si>
    <t>David</t>
  </si>
  <si>
    <t>Valerie</t>
  </si>
  <si>
    <t>Malone</t>
  </si>
  <si>
    <t>Silver</t>
  </si>
  <si>
    <t>Sanders</t>
  </si>
  <si>
    <t>Steve</t>
  </si>
  <si>
    <t>Zuckerman</t>
  </si>
  <si>
    <t>Andrea</t>
  </si>
  <si>
    <t>Bussichio</t>
  </si>
  <si>
    <t>Nat</t>
  </si>
  <si>
    <t>Hr Rate</t>
  </si>
  <si>
    <t>State Tax</t>
  </si>
  <si>
    <t>Federal Tax</t>
  </si>
  <si>
    <t>Reg Hours</t>
  </si>
  <si>
    <t>OT Hours</t>
  </si>
  <si>
    <t>&gt;40</t>
  </si>
  <si>
    <t>&lt;40</t>
  </si>
  <si>
    <t>Gross Pay</t>
  </si>
  <si>
    <t>Net Pay</t>
  </si>
  <si>
    <t>Hours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</si>
</sst>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164" fontId="0" fillId="0" borderId="0" xfId="2" applyNumberFormat="1" applyFont="1"/>
    <xf numFmtId="49" fontId="0" fillId="0" borderId="0" xfId="0" applyNumberForma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9B9C-3038-4655-B32F-FD10A135D99F}">
  <dimension ref="A1:M17"/>
  <sheetViews>
    <sheetView tabSelected="1" workbookViewId="0">
      <selection activeCell="L16" sqref="L16"/>
    </sheetView>
  </sheetViews>
  <sheetFormatPr defaultRowHeight="15" x14ac:dyDescent="0.25"/>
  <cols>
    <col min="1" max="1" width="9.140625" customWidth="1"/>
    <col min="2" max="2" width="10.28515625" bestFit="1" customWidth="1"/>
    <col min="3" max="3" width="10.5703125" bestFit="1" customWidth="1"/>
    <col min="4" max="4" width="10.5703125" customWidth="1"/>
    <col min="5" max="5" width="12.140625" customWidth="1"/>
    <col min="6" max="7" width="9" customWidth="1"/>
    <col min="8" max="8" width="9.85546875" bestFit="1" customWidth="1"/>
    <col min="9" max="9" width="9.85546875" customWidth="1"/>
    <col min="10" max="10" width="9.7109375" bestFit="1" customWidth="1"/>
    <col min="11" max="11" width="8.7109375" bestFit="1" customWidth="1"/>
    <col min="12" max="12" width="11" bestFit="1" customWidth="1"/>
    <col min="13" max="13" width="9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23</v>
      </c>
      <c r="E1" t="s">
        <v>3</v>
      </c>
      <c r="G1" t="s">
        <v>32</v>
      </c>
      <c r="H1" t="s">
        <v>26</v>
      </c>
      <c r="I1" t="s">
        <v>27</v>
      </c>
      <c r="J1" t="s">
        <v>30</v>
      </c>
      <c r="K1" t="s">
        <v>24</v>
      </c>
      <c r="L1" t="s">
        <v>25</v>
      </c>
      <c r="M1" s="4" t="s">
        <v>31</v>
      </c>
    </row>
    <row r="2" spans="1:13" x14ac:dyDescent="0.25">
      <c r="A2">
        <v>1023</v>
      </c>
      <c r="B2" t="s">
        <v>4</v>
      </c>
      <c r="C2" t="s">
        <v>5</v>
      </c>
      <c r="D2" s="1">
        <v>19.25</v>
      </c>
      <c r="E2">
        <v>1</v>
      </c>
      <c r="G2">
        <v>41</v>
      </c>
      <c r="H2">
        <f>G2-I2</f>
        <v>40</v>
      </c>
      <c r="I2">
        <f>IF(G2-40&lt;0,0,G2-40)</f>
        <v>1</v>
      </c>
      <c r="J2" s="4">
        <f>(H2*D2)+ (I2*(1.5*D2))</f>
        <v>798.875</v>
      </c>
      <c r="K2" s="4">
        <f>J2*$C$16</f>
        <v>44.737000000000002</v>
      </c>
      <c r="L2" s="4">
        <f>J2*$C$17</f>
        <v>63.111125000000001</v>
      </c>
      <c r="M2" s="4">
        <f>J2-K2-L2</f>
        <v>691.02687500000002</v>
      </c>
    </row>
    <row r="3" spans="1:13" x14ac:dyDescent="0.25">
      <c r="A3">
        <v>1124</v>
      </c>
      <c r="B3" t="s">
        <v>6</v>
      </c>
      <c r="C3" t="s">
        <v>7</v>
      </c>
      <c r="D3" s="1">
        <v>18.5</v>
      </c>
      <c r="E3">
        <v>0</v>
      </c>
      <c r="G3">
        <v>36</v>
      </c>
      <c r="H3">
        <f t="shared" ref="H3:H11" si="0">G3-I3</f>
        <v>36</v>
      </c>
      <c r="I3">
        <f>IF(G3-40&lt;0,0,G3-40)</f>
        <v>0</v>
      </c>
      <c r="J3" s="4">
        <f t="shared" ref="J3:J11" si="1">(H3*D3)+ (I3*(1.5*D3))</f>
        <v>666</v>
      </c>
      <c r="K3" s="4">
        <f t="shared" ref="K3:K11" si="2">J3*$C$16</f>
        <v>37.295999999999999</v>
      </c>
      <c r="L3" s="4">
        <f t="shared" ref="L3:L11" si="3">J3*$C$17</f>
        <v>52.613999999999997</v>
      </c>
      <c r="M3" s="4">
        <f t="shared" ref="M3:M11" si="4">J3-K3-L3</f>
        <v>576.08999999999992</v>
      </c>
    </row>
    <row r="4" spans="1:13" x14ac:dyDescent="0.25">
      <c r="A4">
        <v>1225</v>
      </c>
      <c r="B4" t="s">
        <v>8</v>
      </c>
      <c r="C4" t="s">
        <v>9</v>
      </c>
      <c r="D4" s="1">
        <v>17.751999999999999</v>
      </c>
      <c r="E4">
        <v>1</v>
      </c>
      <c r="G4">
        <v>40</v>
      </c>
      <c r="H4">
        <f t="shared" si="0"/>
        <v>40</v>
      </c>
      <c r="I4">
        <f t="shared" ref="I4:I11" si="5">IF(G4-40&lt;0,0,G4-40)</f>
        <v>0</v>
      </c>
      <c r="J4" s="4">
        <f t="shared" si="1"/>
        <v>710.07999999999993</v>
      </c>
      <c r="K4" s="4">
        <f t="shared" si="2"/>
        <v>39.764479999999999</v>
      </c>
      <c r="L4" s="4">
        <f t="shared" si="3"/>
        <v>56.096319999999992</v>
      </c>
      <c r="M4" s="4">
        <f t="shared" si="4"/>
        <v>614.21919999999989</v>
      </c>
    </row>
    <row r="5" spans="1:13" x14ac:dyDescent="0.25">
      <c r="A5">
        <v>1326</v>
      </c>
      <c r="B5" t="s">
        <v>10</v>
      </c>
      <c r="C5" t="s">
        <v>11</v>
      </c>
      <c r="D5" s="1">
        <v>18</v>
      </c>
      <c r="E5">
        <v>2</v>
      </c>
      <c r="G5">
        <v>42</v>
      </c>
      <c r="H5">
        <f t="shared" si="0"/>
        <v>40</v>
      </c>
      <c r="I5">
        <f t="shared" si="5"/>
        <v>2</v>
      </c>
      <c r="J5" s="4">
        <f t="shared" si="1"/>
        <v>774</v>
      </c>
      <c r="K5" s="4">
        <f t="shared" si="2"/>
        <v>43.344000000000001</v>
      </c>
      <c r="L5" s="4">
        <f t="shared" si="3"/>
        <v>61.146000000000001</v>
      </c>
      <c r="M5" s="4">
        <f t="shared" si="4"/>
        <v>669.51</v>
      </c>
    </row>
    <row r="6" spans="1:13" x14ac:dyDescent="0.25">
      <c r="A6">
        <v>1427</v>
      </c>
      <c r="B6" t="s">
        <v>6</v>
      </c>
      <c r="C6" t="s">
        <v>12</v>
      </c>
      <c r="D6" s="1">
        <v>17.5</v>
      </c>
      <c r="E6">
        <v>1</v>
      </c>
      <c r="G6">
        <v>40</v>
      </c>
      <c r="H6">
        <f t="shared" si="0"/>
        <v>40</v>
      </c>
      <c r="I6">
        <f t="shared" si="5"/>
        <v>0</v>
      </c>
      <c r="J6" s="4">
        <f t="shared" si="1"/>
        <v>700</v>
      </c>
      <c r="K6" s="4">
        <f t="shared" si="2"/>
        <v>39.200000000000003</v>
      </c>
      <c r="L6" s="4">
        <f t="shared" si="3"/>
        <v>55.3</v>
      </c>
      <c r="M6" s="4">
        <f t="shared" si="4"/>
        <v>605.5</v>
      </c>
    </row>
    <row r="7" spans="1:13" x14ac:dyDescent="0.25">
      <c r="A7">
        <v>1528</v>
      </c>
      <c r="B7" t="s">
        <v>16</v>
      </c>
      <c r="C7" t="s">
        <v>13</v>
      </c>
      <c r="D7" s="1">
        <v>18.25</v>
      </c>
      <c r="E7">
        <v>0</v>
      </c>
      <c r="G7">
        <v>44</v>
      </c>
      <c r="H7">
        <f t="shared" si="0"/>
        <v>40</v>
      </c>
      <c r="I7">
        <f t="shared" si="5"/>
        <v>4</v>
      </c>
      <c r="J7" s="4">
        <f t="shared" si="1"/>
        <v>839.5</v>
      </c>
      <c r="K7" s="4">
        <f t="shared" si="2"/>
        <v>47.012</v>
      </c>
      <c r="L7" s="4">
        <f t="shared" si="3"/>
        <v>66.320499999999996</v>
      </c>
      <c r="M7" s="4">
        <f t="shared" si="4"/>
        <v>726.16750000000002</v>
      </c>
    </row>
    <row r="8" spans="1:13" x14ac:dyDescent="0.25">
      <c r="A8">
        <v>1629</v>
      </c>
      <c r="B8" t="s">
        <v>15</v>
      </c>
      <c r="C8" t="s">
        <v>14</v>
      </c>
      <c r="D8" s="1">
        <v>17.25</v>
      </c>
      <c r="E8">
        <v>3</v>
      </c>
      <c r="G8">
        <v>32</v>
      </c>
      <c r="H8">
        <f t="shared" si="0"/>
        <v>32</v>
      </c>
      <c r="I8">
        <f t="shared" si="5"/>
        <v>0</v>
      </c>
      <c r="J8" s="4">
        <f t="shared" si="1"/>
        <v>552</v>
      </c>
      <c r="K8" s="4">
        <f t="shared" si="2"/>
        <v>30.911999999999999</v>
      </c>
      <c r="L8" s="4">
        <f t="shared" si="3"/>
        <v>43.607999999999997</v>
      </c>
      <c r="M8" s="4">
        <f t="shared" si="4"/>
        <v>477.47999999999996</v>
      </c>
    </row>
    <row r="9" spans="1:13" x14ac:dyDescent="0.25">
      <c r="A9">
        <v>1730</v>
      </c>
      <c r="B9" t="s">
        <v>17</v>
      </c>
      <c r="C9" t="s">
        <v>18</v>
      </c>
      <c r="D9" s="1">
        <v>18.5</v>
      </c>
      <c r="E9">
        <v>2</v>
      </c>
      <c r="G9">
        <v>40</v>
      </c>
      <c r="H9">
        <f t="shared" si="0"/>
        <v>40</v>
      </c>
      <c r="I9">
        <f t="shared" si="5"/>
        <v>0</v>
      </c>
      <c r="J9" s="4">
        <f t="shared" si="1"/>
        <v>740</v>
      </c>
      <c r="K9" s="4">
        <f t="shared" si="2"/>
        <v>41.44</v>
      </c>
      <c r="L9" s="4">
        <f t="shared" si="3"/>
        <v>58.46</v>
      </c>
      <c r="M9" s="4">
        <f t="shared" si="4"/>
        <v>640.09999999999991</v>
      </c>
    </row>
    <row r="10" spans="1:13" x14ac:dyDescent="0.25">
      <c r="A10">
        <v>1831</v>
      </c>
      <c r="B10" t="s">
        <v>19</v>
      </c>
      <c r="C10" t="s">
        <v>20</v>
      </c>
      <c r="D10" s="1">
        <v>17.75</v>
      </c>
      <c r="E10">
        <v>2</v>
      </c>
      <c r="G10">
        <v>43</v>
      </c>
      <c r="H10">
        <f t="shared" si="0"/>
        <v>40</v>
      </c>
      <c r="I10">
        <f t="shared" si="5"/>
        <v>3</v>
      </c>
      <c r="J10" s="4">
        <f t="shared" si="1"/>
        <v>789.875</v>
      </c>
      <c r="K10" s="4">
        <f t="shared" si="2"/>
        <v>44.233000000000004</v>
      </c>
      <c r="L10" s="4">
        <f t="shared" si="3"/>
        <v>62.400125000000003</v>
      </c>
      <c r="M10" s="4">
        <f t="shared" si="4"/>
        <v>683.24187500000005</v>
      </c>
    </row>
    <row r="11" spans="1:13" x14ac:dyDescent="0.25">
      <c r="A11">
        <v>1932</v>
      </c>
      <c r="B11" t="s">
        <v>21</v>
      </c>
      <c r="C11" t="s">
        <v>22</v>
      </c>
      <c r="D11" s="1">
        <v>19.5</v>
      </c>
      <c r="E11">
        <v>0</v>
      </c>
      <c r="G11">
        <v>39</v>
      </c>
      <c r="H11">
        <f t="shared" si="0"/>
        <v>39</v>
      </c>
      <c r="I11">
        <f t="shared" si="5"/>
        <v>0</v>
      </c>
      <c r="J11" s="4">
        <f t="shared" si="1"/>
        <v>760.5</v>
      </c>
      <c r="K11" s="4">
        <f t="shared" si="2"/>
        <v>42.588000000000001</v>
      </c>
      <c r="L11" s="4">
        <f t="shared" si="3"/>
        <v>60.079500000000003</v>
      </c>
      <c r="M11" s="4">
        <f t="shared" si="4"/>
        <v>657.83249999999998</v>
      </c>
    </row>
    <row r="16" spans="1:13" x14ac:dyDescent="0.25">
      <c r="B16" t="s">
        <v>24</v>
      </c>
      <c r="C16" s="2">
        <v>5.6000000000000001E-2</v>
      </c>
      <c r="F16" t="s">
        <v>26</v>
      </c>
      <c r="G16" s="3" t="s">
        <v>29</v>
      </c>
      <c r="I16" s="3"/>
    </row>
    <row r="17" spans="2:7" x14ac:dyDescent="0.25">
      <c r="B17" t="s">
        <v>25</v>
      </c>
      <c r="C17" s="2">
        <v>7.9000000000000001E-2</v>
      </c>
      <c r="F17" t="s">
        <v>27</v>
      </c>
      <c r="G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Stankowski</dc:creator>
  <cp:lastModifiedBy>Jackie Stankowski</cp:lastModifiedBy>
  <dcterms:created xsi:type="dcterms:W3CDTF">2025-11-18T13:47:37Z</dcterms:created>
  <dcterms:modified xsi:type="dcterms:W3CDTF">2025-11-18T14:23:59Z</dcterms:modified>
</cp:coreProperties>
</file>